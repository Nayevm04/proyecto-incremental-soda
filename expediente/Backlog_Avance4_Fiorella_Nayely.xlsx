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ocumentos\UTN\2026\III Cuatri\Administracion De Proyectos\Proyecto\"/>
    </mc:Choice>
  </mc:AlternateContent>
  <xr:revisionPtr revIDLastSave="0" documentId="8_{D76F587D-8AF8-4B37-8CC3-E73F50DD9DC7}" xr6:coauthVersionLast="47" xr6:coauthVersionMax="47" xr10:uidLastSave="{00000000-0000-0000-0000-000000000000}"/>
  <bookViews>
    <workbookView xWindow="-108" yWindow="-108" windowWidth="23256" windowHeight="12456" activeTab="3" xr2:uid="{F57E973C-8CAD-4FCE-B192-33529B21985D}"/>
  </bookViews>
  <sheets>
    <sheet name="Backlog" sheetId="1" r:id="rId1"/>
    <sheet name="Sprint 1" sheetId="2" r:id="rId2"/>
    <sheet name="Entregas" sheetId="3" r:id="rId3"/>
    <sheet name="Seguimiento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" i="4" l="1"/>
  <c r="F22" i="4"/>
  <c r="E22" i="4"/>
  <c r="D22" i="4"/>
  <c r="G21" i="4"/>
  <c r="F21" i="4"/>
  <c r="E21" i="4"/>
  <c r="D21" i="4"/>
  <c r="G20" i="4"/>
  <c r="F20" i="4"/>
  <c r="E20" i="4"/>
  <c r="D20" i="4"/>
  <c r="G19" i="4"/>
  <c r="F19" i="4"/>
  <c r="F13" i="4" s="1"/>
  <c r="E19" i="4"/>
  <c r="D19" i="4"/>
  <c r="G18" i="4"/>
  <c r="E18" i="4"/>
  <c r="D18" i="4"/>
  <c r="B13" i="4"/>
  <c r="D13" i="4" s="1"/>
  <c r="H11" i="4"/>
  <c r="B11" i="4"/>
  <c r="H10" i="4"/>
  <c r="B10" i="4"/>
  <c r="H9" i="4"/>
  <c r="B9" i="4"/>
  <c r="H8" i="4"/>
  <c r="B8" i="4"/>
  <c r="H7" i="4"/>
  <c r="B7" i="4"/>
  <c r="G24" i="3"/>
  <c r="C24" i="3"/>
  <c r="D24" i="3" s="1"/>
  <c r="G23" i="3"/>
  <c r="C23" i="3"/>
  <c r="D23" i="3" s="1"/>
  <c r="G22" i="3"/>
  <c r="C22" i="3"/>
  <c r="D22" i="3" s="1"/>
  <c r="G21" i="3"/>
  <c r="C21" i="3"/>
  <c r="D21" i="3" s="1"/>
  <c r="G20" i="3"/>
  <c r="C20" i="3"/>
  <c r="D20" i="3" s="1"/>
  <c r="G19" i="3"/>
  <c r="C19" i="3"/>
  <c r="D19" i="3" s="1"/>
  <c r="B14" i="3"/>
  <c r="B13" i="3"/>
  <c r="B4" i="3"/>
  <c r="B3" i="2"/>
  <c r="C16" i="1"/>
  <c r="C15" i="1"/>
  <c r="C14" i="1"/>
  <c r="C11" i="1"/>
  <c r="B10" i="3" l="1"/>
  <c r="B9" i="3"/>
</calcChain>
</file>

<file path=xl/sharedStrings.xml><?xml version="1.0" encoding="utf-8"?>
<sst xmlns="http://schemas.openxmlformats.org/spreadsheetml/2006/main" count="189" uniqueCount="115">
  <si>
    <t>Backlog inicial y matriz de estimación</t>
  </si>
  <si>
    <t>ID</t>
  </si>
  <si>
    <t>Historia de usuario</t>
  </si>
  <si>
    <t>Puntos</t>
  </si>
  <si>
    <t>Prioridad</t>
  </si>
  <si>
    <t>Dependencias</t>
  </si>
  <si>
    <t>Épica</t>
  </si>
  <si>
    <t>Justificación de puntos</t>
  </si>
  <si>
    <t>Criterios de aceptación</t>
  </si>
  <si>
    <t>PB01</t>
  </si>
  <si>
    <t>Como personal de recepción, quiero registrar productos, cantidades y observaciones de un pedido, para comunicarlo con claridad a cocina.</t>
  </si>
  <si>
    <t>Ninguna</t>
  </si>
  <si>
    <t>Registro y consulta</t>
  </si>
  <si>
    <t>Formulario, validaciones, guardado de cabecera y detalles e identificador único. Mayor tamaño que la consulta.</t>
  </si>
  <si>
    <t>Un pedido válido conserva productos, cantidades y observaciones, con ID único y estado pendiente. Rechaza pedidos sin productos y cantidades no enteras o no positivas.</t>
  </si>
  <si>
    <t>PB02</t>
  </si>
  <si>
    <t>Como personal de cocina, quiero consultar los pedidos activos y sus detalles, para saber qué debo preparar.</t>
  </si>
  <si>
    <t>Referencia de 3 puntos: recuperar lista y detalles, mostrar datos y probar coincidencia desde otro navegador.</t>
  </si>
  <si>
    <t>El pedido guardado aparece con los mismos detalles desde otro navegador. La lista vacía muestra un mensaje claro.</t>
  </si>
  <si>
    <t>PB03</t>
  </si>
  <si>
    <t>Como personal de cocina, quiero cambiar el estado a en preparación y listo, para comunicar el avance.</t>
  </si>
  <si>
    <t>PB01 y PB02</t>
  </si>
  <si>
    <t>Seguimiento del pedido</t>
  </si>
  <si>
    <t>Guardar y validar transiciones de pendiente a en preparación y luego listo.</t>
  </si>
  <si>
    <t>Permite pendiente a en preparación y luego listo. Conserva el estado y lo muestra al consultar desde otro navegador.</t>
  </si>
  <si>
    <t>PB04</t>
  </si>
  <si>
    <t>Como personal de entrega, quiero marcar como entregado un pedido listo, para distinguirlo de los pedidos activos.</t>
  </si>
  <si>
    <t>Reutiliza PB03; valida que esté listo antes de entregar y lo retira de activos.</t>
  </si>
  <si>
    <t>Solo un pedido listo puede marcarse entregado. Después deja de aparecer en activos.</t>
  </si>
  <si>
    <t>PB05</t>
  </si>
  <si>
    <t>Como persona administradora, quiero consultar el historial de pedidos entregados, para revisar sus detalles.</t>
  </si>
  <si>
    <t>Historial</t>
  </si>
  <si>
    <t>Consulta y vista de entregados con detalles. Sin reportes ni filtros avanzados.</t>
  </si>
  <si>
    <t>Muestra pedidos entregados y sus detalles sin alterar la información guardada.</t>
  </si>
  <si>
    <t>Total de puntos</t>
  </si>
  <si>
    <t>Sprint Backlog del primer Sprint</t>
  </si>
  <si>
    <t>Tarea</t>
  </si>
  <si>
    <t>Historia</t>
  </si>
  <si>
    <t>Trabajo previsto</t>
  </si>
  <si>
    <t>Responsable</t>
  </si>
  <si>
    <t>Estado</t>
  </si>
  <si>
    <t>Bloqueo y acción</t>
  </si>
  <si>
    <t>Evidencia</t>
  </si>
  <si>
    <t>T01</t>
  </si>
  <si>
    <t>Acordar los campos del pedido y ejemplos de uso con recepción; diseñar un formulario sencillo.</t>
  </si>
  <si>
    <t>Nayely</t>
  </si>
  <si>
    <t>Por hacer</t>
  </si>
  <si>
    <t>T02</t>
  </si>
  <si>
    <t>Crear el almacenamiento de pedidos y detalles, con identificador único y estado inicial pendiente.</t>
  </si>
  <si>
    <t>Fiorella</t>
  </si>
  <si>
    <t>T03</t>
  </si>
  <si>
    <t>Implementar el formulario, el guardado y las validaciones de productos y cantidades.</t>
  </si>
  <si>
    <t>T04</t>
  </si>
  <si>
    <t>Crear y ejecutar pruebas automáticas de validación y persistencia; revisar el código del registro.</t>
  </si>
  <si>
    <t>T05</t>
  </si>
  <si>
    <t>Implementar la consulta de pedidos activos y la recuperación de sus detalles.</t>
  </si>
  <si>
    <t>T06</t>
  </si>
  <si>
    <t>Construir la lista y la vista de detalle con identificador, productos, cantidades, observaciones y estado.</t>
  </si>
  <si>
    <t>T07</t>
  </si>
  <si>
    <t>Probar automáticamente la consulta y revisar el código implementado por Fiorella.</t>
  </si>
  <si>
    <t>T08</t>
  </si>
  <si>
    <t>Ambos</t>
  </si>
  <si>
    <t>Integrar a la rama principal, preparar el ambiente de pruebas y comprobar registro y consulta desde dos navegadores.</t>
  </si>
  <si>
    <t>Ambas</t>
  </si>
  <si>
    <t>T09</t>
  </si>
  <si>
    <t>Actualizar la guía breve, registrar resultados de pruebas y preparar la demostración del incremento.</t>
  </si>
  <si>
    <t>Cronograma de entregas</t>
  </si>
  <si>
    <t>Inicio tentativo</t>
  </si>
  <si>
    <t>Días por Sprint</t>
  </si>
  <si>
    <t>Capacidad base</t>
  </si>
  <si>
    <t>Capacidad conservadora</t>
  </si>
  <si>
    <t>Sprints base</t>
  </si>
  <si>
    <t>Sprints conservador</t>
  </si>
  <si>
    <t>Costo por Sprint (CRC)</t>
  </si>
  <si>
    <t>Costo inicial (CRC)</t>
  </si>
  <si>
    <t>Costo base (CRC)</t>
  </si>
  <si>
    <t>Costo conservador (CRC)</t>
  </si>
  <si>
    <t>Escenario</t>
  </si>
  <si>
    <t>Sprint</t>
  </si>
  <si>
    <t>Inicio</t>
  </si>
  <si>
    <t>Fin</t>
  </si>
  <si>
    <t>Historias</t>
  </si>
  <si>
    <t>Incremento e hito</t>
  </si>
  <si>
    <t>Base</t>
  </si>
  <si>
    <t>Registro y consulta compartida. Review y demostración.</t>
  </si>
  <si>
    <t>PB03, PB04 y PB05</t>
  </si>
  <si>
    <t>Estados, entrega e historial. Review y validación completa.</t>
  </si>
  <si>
    <t>Conservador</t>
  </si>
  <si>
    <t>Registro de pedidos. Replanificar el objetivo antes de iniciar.</t>
  </si>
  <si>
    <t>Consulta compartida de pedidos activos.</t>
  </si>
  <si>
    <t>PB03 y PB04</t>
  </si>
  <si>
    <t>Estados y confirmación de entrega.</t>
  </si>
  <si>
    <t>Historial integrado. Review y validación completa.</t>
  </si>
  <si>
    <t>Seguimiento de historias y puntos pendientes</t>
  </si>
  <si>
    <t>Aceptación</t>
  </si>
  <si>
    <t>DoD</t>
  </si>
  <si>
    <t>Sprint de cierre</t>
  </si>
  <si>
    <t>Revisión pendiente</t>
  </si>
  <si>
    <t>Pendiente</t>
  </si>
  <si>
    <t>Puntos terminados</t>
  </si>
  <si>
    <t>Pendientes actuales</t>
  </si>
  <si>
    <t>Velocidad promedio</t>
  </si>
  <si>
    <t>Momento</t>
  </si>
  <si>
    <t>Revisión</t>
  </si>
  <si>
    <t>Plan pendiente</t>
  </si>
  <si>
    <t>Real pendiente</t>
  </si>
  <si>
    <t>Puntos del Sprint</t>
  </si>
  <si>
    <t>Fecha prevista</t>
  </si>
  <si>
    <t>Observaciones</t>
  </si>
  <si>
    <t>Base: PB01 y PB02; después PB03 a PB05.</t>
  </si>
  <si>
    <t>Sprint 1</t>
  </si>
  <si>
    <t>Sprint 2</t>
  </si>
  <si>
    <t>Sprint 3</t>
  </si>
  <si>
    <t>Usar si se amplía la proyección.</t>
  </si>
  <si>
    <t>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</si>
</sst>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₡&quot;#,##0"/>
  </numFmts>
  <fonts count="5" x14ac:knownFonts="1">
    <font>
      <sz val="11"/>
      <color theme="1"/>
      <name val="Aptos Narrow"/>
      <family val="2"/>
      <scheme val="minor"/>
    </font>
    <font>
      <sz val="11"/>
      <color rgb="FF202B33"/>
      <name val="Arial"/>
      <family val="2"/>
    </font>
    <font>
      <b/>
      <sz val="16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202B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rgb="FFEAF1F7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264F73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6" xfId="0" applyFont="1" applyBorder="1" applyAlignment="1">
      <alignment vertical="center"/>
    </xf>
    <xf numFmtId="0" fontId="1" fillId="3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164" fontId="1" fillId="3" borderId="13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5" fontId="1" fillId="3" borderId="13" xfId="0" applyNumberFormat="1" applyFont="1" applyFill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horizontal="center" vertical="center" wrapText="1"/>
    </xf>
    <xf numFmtId="164" fontId="1" fillId="4" borderId="8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</cellXfs>
  <cellStyles count="1">
    <cellStyle name="Normal" xfId="0" builtinId="0"/>
  </cellStyles>
  <dxfs count="4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B33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B33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B33"/>
        <name val="Arial"/>
        <family val="2"/>
        <scheme val="none"/>
      </font>
      <numFmt numFmtId="164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B33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B33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B33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B33"/>
        <name val="Arial"/>
        <family val="2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B33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B33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8" tint="-0.249977111117893"/>
        </patternFill>
      </fill>
    </dxf>
    <dxf>
      <font>
        <color rgb="FF9C2A16"/>
      </font>
      <fill>
        <patternFill patternType="solid">
          <bgColor rgb="FFFCE4D6"/>
        </patternFill>
      </fill>
    </dxf>
    <dxf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245B24"/>
      </font>
      <fill>
        <patternFill patternType="solid">
          <bgColor rgb="FFDFF0DF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R" sz="1050">
                <a:latin typeface="Arial"/>
                <a:ea typeface="Arial"/>
                <a:cs typeface="Arial"/>
              </a:rPr>
              <a:t>Puntos pendientes del release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 pendiente</c:v>
          </c:tx>
          <c:spPr>
            <a:ln w="19050">
              <a:solidFill>
                <a:srgbClr val="61788A"/>
              </a:solidFill>
              <a:prstDash val="dash"/>
            </a:ln>
          </c:spPr>
          <c:marker>
            <c:symbol val="none"/>
          </c:marker>
          <c:cat>
            <c:strRef>
              <c:f>[1]Seguimiento!$A$18:$A$22</c:f>
              <c:strCache>
                <c:ptCount val="5"/>
                <c:pt idx="0">
                  <c:v>Inicio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[1]Seguimiento!$D$18:$D$22</c:f>
              <c:numCache>
                <c:formatCode>General</c:formatCode>
                <c:ptCount val="5"/>
                <c:pt idx="0">
                  <c:v>16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E-4408-8118-872D155F0582}"/>
            </c:ext>
          </c:extLst>
        </c:ser>
        <c:ser>
          <c:idx val="1"/>
          <c:order val="1"/>
          <c:tx>
            <c:v>Real pendiente</c:v>
          </c:tx>
          <c:spPr>
            <a:ln w="19050">
              <a:solidFill>
                <a:srgbClr val="C74B40"/>
              </a:solidFill>
              <a:prstDash val="solid"/>
            </a:ln>
          </c:spPr>
          <c:marker>
            <c:symbol val="none"/>
          </c:marker>
          <c:cat>
            <c:strRef>
              <c:f>[1]Seguimiento!$A$18:$A$22</c:f>
              <c:strCache>
                <c:ptCount val="5"/>
                <c:pt idx="0">
                  <c:v>Inicio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[1]Seguimiento!$E$18:$E$22</c:f>
              <c:numCache>
                <c:formatCode>General</c:formatCode>
                <c:ptCount val="5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DE-4408-8118-872D155F0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s-C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s-CR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s-C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251012</xdr:colOff>
      <xdr:row>23</xdr:row>
      <xdr:rowOff>125506</xdr:rowOff>
    </xdr:from>
    <xdr:to>
      <xdr:col>17</xdr:col>
      <xdr:colOff>203253</xdr:colOff>
      <xdr:row>37</xdr:row>
      <xdr:rowOff>143433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A685592A-414A-4609-840B-B06EB36CF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OneDrive\Documentos\UTN\2026\III%20Cuatri\Administracion%20De%20Proyectos\Proyecto\Backlog_Avance4.xlsx" TargetMode="External"/><Relationship Id="rId1" Type="http://schemas.openxmlformats.org/officeDocument/2006/relationships/externalLinkPath" Target="Backlog_Avance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"/>
      <sheetName val="Sprint 1"/>
      <sheetName val="Entregas"/>
      <sheetName val="Seguimiento"/>
    </sheetNames>
    <sheetDataSet>
      <sheetData sheetId="0">
        <row r="5">
          <cell r="A5" t="str">
            <v>PB01</v>
          </cell>
          <cell r="C5">
            <v>5</v>
          </cell>
        </row>
        <row r="6">
          <cell r="A6" t="str">
            <v>PB02</v>
          </cell>
          <cell r="C6">
            <v>3</v>
          </cell>
        </row>
        <row r="7">
          <cell r="A7" t="str">
            <v>PB03</v>
          </cell>
          <cell r="C7">
            <v>3</v>
          </cell>
        </row>
        <row r="8">
          <cell r="A8" t="str">
            <v>PB04</v>
          </cell>
          <cell r="C8">
            <v>2</v>
          </cell>
        </row>
        <row r="9">
          <cell r="A9" t="str">
            <v>PB05</v>
          </cell>
          <cell r="C9">
            <v>3</v>
          </cell>
        </row>
        <row r="11">
          <cell r="C11">
            <v>16</v>
          </cell>
        </row>
      </sheetData>
      <sheetData sheetId="1"/>
      <sheetData sheetId="2">
        <row r="6">
          <cell r="B6">
            <v>46314</v>
          </cell>
        </row>
        <row r="7">
          <cell r="B7">
            <v>7</v>
          </cell>
        </row>
        <row r="8">
          <cell r="B8">
            <v>8</v>
          </cell>
        </row>
      </sheetData>
      <sheetData sheetId="3">
        <row r="18">
          <cell r="A18" t="str">
            <v>Inicio</v>
          </cell>
          <cell r="D18">
            <v>16</v>
          </cell>
          <cell r="E18">
            <v>16</v>
          </cell>
        </row>
        <row r="19">
          <cell r="A19" t="str">
            <v>Sprint 1</v>
          </cell>
          <cell r="D19">
            <v>8</v>
          </cell>
          <cell r="E19" t="str">
            <v/>
          </cell>
        </row>
        <row r="20">
          <cell r="A20" t="str">
            <v>Sprint 2</v>
          </cell>
          <cell r="D20">
            <v>0</v>
          </cell>
          <cell r="E20" t="str">
            <v/>
          </cell>
        </row>
        <row r="21">
          <cell r="A21" t="str">
            <v>Sprint 3</v>
          </cell>
          <cell r="D21">
            <v>0</v>
          </cell>
          <cell r="E21" t="str">
            <v/>
          </cell>
        </row>
        <row r="22">
          <cell r="A22" t="str">
            <v>Sprint 4</v>
          </cell>
          <cell r="D22">
            <v>0</v>
          </cell>
          <cell r="E22" t="str">
            <v/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D9136-592E-4B2A-8748-6A8677D2B0E2}" name="Historias" displayName="Historias" ref="A4:H9" totalsRowShown="0" headerRowDxfId="32" headerRowBorderDxfId="42" tableBorderDxfId="43" totalsRowBorderDxfId="41">
  <autoFilter ref="A4:H9" xr:uid="{3F1D9136-592E-4B2A-8748-6A8677D2B0E2}"/>
  <tableColumns count="8">
    <tableColumn id="1" xr3:uid="{DDD7F552-DA49-4C0F-B49C-72594FD632AF}" name="ID" dataDxfId="40"/>
    <tableColumn id="2" xr3:uid="{353EB9A0-2B99-429E-9380-02537B5B65DF}" name="Historia de usuario" dataDxfId="39"/>
    <tableColumn id="3" xr3:uid="{10D8277B-A1A7-4669-81C0-530179D9CA9B}" name="Puntos" dataDxfId="38"/>
    <tableColumn id="4" xr3:uid="{194FDB65-CBCB-4C73-8EA2-66022C1A6DCB}" name="Prioridad" dataDxfId="37"/>
    <tableColumn id="5" xr3:uid="{94D2F43B-B4B6-4ABE-83E5-9E940389970E}" name="Dependencias" dataDxfId="36"/>
    <tableColumn id="6" xr3:uid="{BE70D04F-F9D6-47A7-A6C4-5013F660C258}" name="Épica" dataDxfId="35"/>
    <tableColumn id="7" xr3:uid="{634F969F-58E7-4023-A16B-3A2E787FD8E4}" name="Justificación de puntos" dataDxfId="34"/>
    <tableColumn id="8" xr3:uid="{49C8EB17-7A59-48E9-9A19-37E042ECA812}" name="Criterios de aceptación" dataDxfId="3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86B4D8-EA9C-42C1-86C9-D540CAAB0986}" name="TareasSprint" displayName="TareasSprint" ref="A5:G14" totalsRowShown="0" headerRowDxfId="31">
  <autoFilter ref="A5:G14" xr:uid="{C186B4D8-EA9C-42C1-86C9-D540CAAB0986}"/>
  <tableColumns count="7">
    <tableColumn id="1" xr3:uid="{193311EA-E9E0-4E3E-99CC-C6B35DBF3590}" name="Tarea" dataDxfId="30"/>
    <tableColumn id="2" xr3:uid="{112853D5-A61D-4E66-BA05-DDBBDEAF3030}" name="Historia" dataDxfId="29"/>
    <tableColumn id="3" xr3:uid="{B7CB49E6-82A7-4E0D-8D88-92BF3EEFBFFB}" name="Trabajo previsto" dataDxfId="28"/>
    <tableColumn id="4" xr3:uid="{A423538E-A730-4B48-89C9-6AEA367664FC}" name="Responsable" dataDxfId="27"/>
    <tableColumn id="5" xr3:uid="{74C93A26-AA43-420B-8BBC-12473E26D07A}" name="Estado" dataDxfId="26"/>
    <tableColumn id="6" xr3:uid="{E7C74413-AF1D-486F-8834-5F7B9AA568D2}" name="Bloqueo y acción" dataDxfId="25"/>
    <tableColumn id="7" xr3:uid="{57E71A8E-5123-482D-8E0C-C1541D966590}" name="Evidencia" dataDxfId="24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A801EB-E733-4D2B-AAC6-FE3B2F3FF907}" name="PlanEntregas" displayName="PlanEntregas" ref="A18:G24" totalsRowShown="0" headerRowDxfId="12" headerRowBorderDxfId="21" tableBorderDxfId="22" totalsRowBorderDxfId="20">
  <autoFilter ref="A18:G24" xr:uid="{56A801EB-E733-4D2B-AAC6-FE3B2F3FF907}"/>
  <tableColumns count="7">
    <tableColumn id="1" xr3:uid="{F5029847-C7DB-48A8-9A77-8179AD9ECB56}" name="Escenario" dataDxfId="19"/>
    <tableColumn id="2" xr3:uid="{0C9558AC-4A13-4F92-8792-10F1A1FAC6EE}" name="Sprint" dataDxfId="18"/>
    <tableColumn id="3" xr3:uid="{A73B9255-F38A-4025-A8A1-5EEBD2D659B2}" name="Inicio" dataDxfId="17">
      <calculatedColumnFormula>$B$5+(B19-1)*$B$6</calculatedColumnFormula>
    </tableColumn>
    <tableColumn id="4" xr3:uid="{3C9BFF06-8229-4AAB-9A05-69D11370B93D}" name="Fin" dataDxfId="16">
      <calculatedColumnFormula>C19+$B$6-1</calculatedColumnFormula>
    </tableColumn>
    <tableColumn id="5" xr3:uid="{98A5F145-C0BF-43B0-AD06-C8CE6F521FDE}" name="Historias" dataDxfId="15"/>
    <tableColumn id="6" xr3:uid="{215BA273-5AFE-41DA-85BD-ECB2B5F9A180}" name="Incremento e hito" dataDxfId="14"/>
    <tableColumn id="7" xr3:uid="{C80F0665-29F6-4E37-8F35-6A9B39120087}" name="Puntos" dataDxfId="13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5EE7C9-E8BB-4C4D-A1E2-D4098A21AA3F}" name="ControlHistorias" displayName="ControlHistorias" ref="A6:H11" totalsRowShown="0" headerRowDxfId="10">
  <autoFilter ref="A6:H11" xr:uid="{845EE7C9-E8BB-4C4D-A1E2-D4098A21AA3F}"/>
  <tableColumns count="8">
    <tableColumn id="1" xr3:uid="{C82F03D3-BB6B-490D-8195-0313451A913A}" name="Historia"/>
    <tableColumn id="2" xr3:uid="{AAFAFF3A-C689-4F16-8FFA-E10C8B8A0579}" name="Puntos">
      <calculatedColumnFormula>INDEX([1]Backlog!$C$5:$C$9,MATCH(A7,[1]Backlog!$A$5:$A$9,0))</calculatedColumnFormula>
    </tableColumn>
    <tableColumn id="3" xr3:uid="{DFED2D20-DA6C-4AE8-84AF-FD28663E5148}" name="Estado"/>
    <tableColumn id="4" xr3:uid="{3CB35969-B969-492F-92F6-67A31A6C0FE1}" name="Aceptación"/>
    <tableColumn id="5" xr3:uid="{300B1F09-2402-4CDD-AA7D-791E2948D033}" name="DoD"/>
    <tableColumn id="6" xr3:uid="{4BA24990-9648-435E-B969-1C90A41A6B17}" name="Sprint de cierre"/>
    <tableColumn id="7" xr3:uid="{812E2E56-9457-487D-9902-8BAA10839FF9}" name="Evidencia"/>
    <tableColumn id="8" xr3:uid="{75DDEE1A-970C-4A71-A2C5-0BF77D2BA91A}" name="Revisión pendiente">
      <calculatedColumnFormula>IF(C7&lt;&gt;"Terminado","",IF(OR(D7&lt;&gt;"Sí",E7&lt;&gt;"Sí"),"Falta aceptación o DoD",IF(OR(F7="",G7=""),"Completar cierre y evidencia","")))</calculatedColumnFormula>
    </tableColumn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FB5ECF-6EB5-4A15-9B07-C24A202D4FF1}" name="Tabla1" displayName="Tabla1" ref="A17:H22" totalsRowShown="0" headerRowDxfId="0" dataDxfId="1">
  <autoFilter ref="A17:H22" xr:uid="{76FB5ECF-6EB5-4A15-9B07-C24A202D4FF1}"/>
  <tableColumns count="8">
    <tableColumn id="1" xr3:uid="{669023D8-4C37-49B8-8F1C-EF51AEB3C654}" name="Momento" dataDxfId="9"/>
    <tableColumn id="2" xr3:uid="{C018CB8D-7D49-4D50-BF2D-A8ACC5749D50}" name="Sprint" dataDxfId="8"/>
    <tableColumn id="3" xr3:uid="{E113178E-CA6F-4C2E-8BEA-F9EAB3920605}" name="Revisión" dataDxfId="7"/>
    <tableColumn id="4" xr3:uid="{DCA44EDD-D17B-4C5F-AF6E-694C295AE915}" name="Plan pendiente" dataDxfId="6">
      <calculatedColumnFormula>MAX(0,[1]Backlog!$C$11-B18*[1]Entregas!$B$8)</calculatedColumnFormula>
    </tableColumn>
    <tableColumn id="5" xr3:uid="{87D6E224-E344-4066-B912-3ACD5144C542}" name="Real pendiente" dataDxfId="5">
      <calculatedColumnFormula>IF(C18&lt;&gt;"Cerrado","",[1]Backlog!$C$11-SUMIFS($B$7:$B$11,$C$7:$C$11,"Terminado",$D$7:$D$11,"Sí",$E$7:$E$11,"Sí",$F$7:$F$11,"&gt;0",$F$7:$F$11,"&lt;="&amp;B18))</calculatedColumnFormula>
    </tableColumn>
    <tableColumn id="6" xr3:uid="{83340038-4672-4FFD-AA1D-AC46E9AF7C78}" name="Puntos del Sprint" dataDxfId="4">
      <calculatedColumnFormula>IF(C18&lt;&gt;"Cerrado","",SUMIFS($B$7:$B$11,$C$7:$C$11,"Terminado",$D$7:$D$11,"Sí",$E$7:$E$11,"Sí",$F$7:$F$11,B18))</calculatedColumnFormula>
    </tableColumn>
    <tableColumn id="7" xr3:uid="{0C899368-B6D1-4F20-B7AE-57618D69F99D}" name="Fecha prevista" dataDxfId="3">
      <calculatedColumnFormula>[1]Entregas!$B$6+B18*[1]Entregas!$B$7-1</calculatedColumnFormula>
    </tableColumn>
    <tableColumn id="8" xr3:uid="{61282B23-2A1B-4820-9F77-787E4397B922}" name="Observaciones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35A3-F846-48FC-B8B7-F0E6F9054829}">
  <dimension ref="A1:H16"/>
  <sheetViews>
    <sheetView zoomScale="55" zoomScaleNormal="55" workbookViewId="0">
      <selection activeCell="J6" sqref="J6"/>
    </sheetView>
  </sheetViews>
  <sheetFormatPr baseColWidth="10" defaultRowHeight="14.4" x14ac:dyDescent="0.3"/>
  <cols>
    <col min="2" max="2" width="34.44140625" customWidth="1"/>
    <col min="3" max="3" width="19" customWidth="1"/>
    <col min="4" max="4" width="21.21875" customWidth="1"/>
    <col min="5" max="5" width="25.5546875" customWidth="1"/>
    <col min="6" max="6" width="27.5546875" customWidth="1"/>
    <col min="7" max="7" width="41.88671875" customWidth="1"/>
    <col min="8" max="8" width="55.5546875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ht="21" x14ac:dyDescent="0.3">
      <c r="A2" s="2" t="s">
        <v>0</v>
      </c>
      <c r="B2" s="3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ht="27.6" x14ac:dyDescent="0.3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3" t="s">
        <v>8</v>
      </c>
    </row>
    <row r="5" spans="1:8" ht="84" customHeight="1" x14ac:dyDescent="0.3">
      <c r="A5" s="14" t="s">
        <v>9</v>
      </c>
      <c r="B5" s="15" t="s">
        <v>10</v>
      </c>
      <c r="C5" s="16">
        <v>5</v>
      </c>
      <c r="D5" s="16">
        <v>1</v>
      </c>
      <c r="E5" s="15" t="s">
        <v>11</v>
      </c>
      <c r="F5" s="15" t="s">
        <v>12</v>
      </c>
      <c r="G5" s="15" t="s">
        <v>13</v>
      </c>
      <c r="H5" s="17" t="s">
        <v>14</v>
      </c>
    </row>
    <row r="6" spans="1:8" ht="73.2" customHeight="1" x14ac:dyDescent="0.3">
      <c r="A6" s="18" t="s">
        <v>15</v>
      </c>
      <c r="B6" s="19" t="s">
        <v>16</v>
      </c>
      <c r="C6" s="16">
        <v>3</v>
      </c>
      <c r="D6" s="16">
        <v>2</v>
      </c>
      <c r="E6" s="19" t="s">
        <v>9</v>
      </c>
      <c r="F6" s="19" t="s">
        <v>12</v>
      </c>
      <c r="G6" s="19" t="s">
        <v>17</v>
      </c>
      <c r="H6" s="20" t="s">
        <v>18</v>
      </c>
    </row>
    <row r="7" spans="1:8" ht="71.400000000000006" customHeight="1" x14ac:dyDescent="0.3">
      <c r="A7" s="14" t="s">
        <v>19</v>
      </c>
      <c r="B7" s="15" t="s">
        <v>20</v>
      </c>
      <c r="C7" s="16">
        <v>3</v>
      </c>
      <c r="D7" s="16">
        <v>3</v>
      </c>
      <c r="E7" s="15" t="s">
        <v>21</v>
      </c>
      <c r="F7" s="15" t="s">
        <v>22</v>
      </c>
      <c r="G7" s="15" t="s">
        <v>23</v>
      </c>
      <c r="H7" s="17" t="s">
        <v>24</v>
      </c>
    </row>
    <row r="8" spans="1:8" ht="83.4" customHeight="1" x14ac:dyDescent="0.3">
      <c r="A8" s="18" t="s">
        <v>25</v>
      </c>
      <c r="B8" s="19" t="s">
        <v>26</v>
      </c>
      <c r="C8" s="16">
        <v>2</v>
      </c>
      <c r="D8" s="16">
        <v>4</v>
      </c>
      <c r="E8" s="19" t="s">
        <v>19</v>
      </c>
      <c r="F8" s="19" t="s">
        <v>22</v>
      </c>
      <c r="G8" s="19" t="s">
        <v>27</v>
      </c>
      <c r="H8" s="20" t="s">
        <v>28</v>
      </c>
    </row>
    <row r="9" spans="1:8" ht="151.80000000000001" x14ac:dyDescent="0.3">
      <c r="A9" s="21" t="s">
        <v>29</v>
      </c>
      <c r="B9" s="22" t="s">
        <v>30</v>
      </c>
      <c r="C9" s="23">
        <v>3</v>
      </c>
      <c r="D9" s="23">
        <v>5</v>
      </c>
      <c r="E9" s="22" t="s">
        <v>25</v>
      </c>
      <c r="F9" s="22" t="s">
        <v>31</v>
      </c>
      <c r="G9" s="22" t="s">
        <v>32</v>
      </c>
      <c r="H9" s="24" t="s">
        <v>33</v>
      </c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7" t="s">
        <v>34</v>
      </c>
      <c r="C11" s="7">
        <f>SUM(C5:C9)</f>
        <v>16</v>
      </c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0" t="s">
        <v>6</v>
      </c>
      <c r="B13" s="10"/>
      <c r="C13" s="4" t="s">
        <v>3</v>
      </c>
      <c r="D13" s="1"/>
      <c r="E13" s="1"/>
      <c r="F13" s="1"/>
      <c r="G13" s="1"/>
      <c r="H13" s="1"/>
    </row>
    <row r="14" spans="1:8" x14ac:dyDescent="0.3">
      <c r="A14" s="8" t="s">
        <v>12</v>
      </c>
      <c r="B14" s="8"/>
      <c r="C14" s="5">
        <f>SUMIFS($C$5:$C$9,$F$5:$F$9,A14)</f>
        <v>8</v>
      </c>
      <c r="D14" s="1"/>
      <c r="E14" s="1"/>
      <c r="F14" s="1"/>
      <c r="G14" s="1"/>
      <c r="H14" s="1"/>
    </row>
    <row r="15" spans="1:8" x14ac:dyDescent="0.3">
      <c r="A15" s="9" t="s">
        <v>22</v>
      </c>
      <c r="B15" s="9"/>
      <c r="C15" s="6">
        <f>SUMIFS($C$5:$C$9,$F$5:$F$9,A15)</f>
        <v>5</v>
      </c>
      <c r="D15" s="1"/>
      <c r="E15" s="1"/>
      <c r="F15" s="1"/>
      <c r="G15" s="1"/>
      <c r="H15" s="1"/>
    </row>
    <row r="16" spans="1:8" x14ac:dyDescent="0.3">
      <c r="A16" s="8" t="s">
        <v>31</v>
      </c>
      <c r="B16" s="8"/>
      <c r="C16" s="5">
        <f>SUMIFS($C$5:$C$9,$F$5:$F$9,A16)</f>
        <v>3</v>
      </c>
      <c r="D16" s="1"/>
      <c r="E16" s="1"/>
      <c r="F16" s="1"/>
      <c r="G16" s="1"/>
      <c r="H16" s="1"/>
    </row>
  </sheetData>
  <mergeCells count="4">
    <mergeCell ref="A13:B13"/>
    <mergeCell ref="A14:B14"/>
    <mergeCell ref="A15:B15"/>
    <mergeCell ref="A16:B16"/>
  </mergeCells>
  <dataValidations count="1">
    <dataValidation type="list" sqref="C5:C9" xr:uid="{7DB48E85-C692-4758-97BA-161FABF15B0B}">
      <formula1>"1,2,3,5,8,13"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1FA8-DB9A-4025-A929-50A16A49C39B}">
  <dimension ref="A1:G14"/>
  <sheetViews>
    <sheetView zoomScale="70" zoomScaleNormal="70" workbookViewId="0">
      <selection activeCell="C11" sqref="C11"/>
    </sheetView>
  </sheetViews>
  <sheetFormatPr baseColWidth="10" defaultRowHeight="14.4" x14ac:dyDescent="0.3"/>
  <cols>
    <col min="1" max="1" width="16.77734375" customWidth="1"/>
    <col min="2" max="2" width="24.21875" customWidth="1"/>
    <col min="3" max="3" width="39.6640625" customWidth="1"/>
    <col min="4" max="4" width="47.44140625" customWidth="1"/>
    <col min="5" max="5" width="22.5546875" customWidth="1"/>
    <col min="6" max="6" width="30.109375" customWidth="1"/>
    <col min="7" max="7" width="45.10937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ht="21" x14ac:dyDescent="0.3">
      <c r="A2" s="27" t="s">
        <v>35</v>
      </c>
      <c r="B2" s="27"/>
      <c r="C2" s="27"/>
      <c r="D2" s="1"/>
      <c r="E2" s="1"/>
      <c r="F2" s="1"/>
      <c r="G2" s="1"/>
    </row>
    <row r="3" spans="1:7" x14ac:dyDescent="0.3">
      <c r="A3" s="1" t="s">
        <v>3</v>
      </c>
      <c r="B3" s="1">
        <f>SUM([1]Backlog!C5:C6)</f>
        <v>8</v>
      </c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</row>
    <row r="6" spans="1:7" ht="61.2" customHeight="1" x14ac:dyDescent="0.3">
      <c r="A6" s="15" t="s">
        <v>43</v>
      </c>
      <c r="B6" s="15" t="s">
        <v>9</v>
      </c>
      <c r="C6" s="15" t="s">
        <v>44</v>
      </c>
      <c r="D6" s="15" t="s">
        <v>45</v>
      </c>
      <c r="E6" s="28" t="s">
        <v>46</v>
      </c>
      <c r="F6" s="28"/>
      <c r="G6" s="28"/>
    </row>
    <row r="7" spans="1:7" ht="63" customHeight="1" x14ac:dyDescent="0.3">
      <c r="A7" s="19" t="s">
        <v>47</v>
      </c>
      <c r="B7" s="19" t="s">
        <v>9</v>
      </c>
      <c r="C7" s="19" t="s">
        <v>48</v>
      </c>
      <c r="D7" s="19" t="s">
        <v>49</v>
      </c>
      <c r="E7" s="28" t="s">
        <v>46</v>
      </c>
      <c r="F7" s="28"/>
      <c r="G7" s="28"/>
    </row>
    <row r="8" spans="1:7" ht="75" customHeight="1" x14ac:dyDescent="0.3">
      <c r="A8" s="15" t="s">
        <v>50</v>
      </c>
      <c r="B8" s="15" t="s">
        <v>9</v>
      </c>
      <c r="C8" s="15" t="s">
        <v>51</v>
      </c>
      <c r="D8" s="15" t="s">
        <v>45</v>
      </c>
      <c r="E8" s="28" t="s">
        <v>46</v>
      </c>
      <c r="F8" s="28"/>
      <c r="G8" s="28"/>
    </row>
    <row r="9" spans="1:7" ht="66" customHeight="1" x14ac:dyDescent="0.3">
      <c r="A9" s="19" t="s">
        <v>52</v>
      </c>
      <c r="B9" s="19" t="s">
        <v>9</v>
      </c>
      <c r="C9" s="19" t="s">
        <v>53</v>
      </c>
      <c r="D9" s="19" t="s">
        <v>49</v>
      </c>
      <c r="E9" s="28" t="s">
        <v>46</v>
      </c>
      <c r="F9" s="28"/>
      <c r="G9" s="28"/>
    </row>
    <row r="10" spans="1:7" ht="65.400000000000006" customHeight="1" x14ac:dyDescent="0.3">
      <c r="A10" s="15" t="s">
        <v>54</v>
      </c>
      <c r="B10" s="15" t="s">
        <v>15</v>
      </c>
      <c r="C10" s="15" t="s">
        <v>55</v>
      </c>
      <c r="D10" s="15" t="s">
        <v>49</v>
      </c>
      <c r="E10" s="28" t="s">
        <v>46</v>
      </c>
      <c r="F10" s="28"/>
      <c r="G10" s="28"/>
    </row>
    <row r="11" spans="1:7" ht="99" customHeight="1" x14ac:dyDescent="0.3">
      <c r="A11" s="19" t="s">
        <v>56</v>
      </c>
      <c r="B11" s="19" t="s">
        <v>15</v>
      </c>
      <c r="C11" s="19" t="s">
        <v>57</v>
      </c>
      <c r="D11" s="19" t="s">
        <v>45</v>
      </c>
      <c r="E11" s="28" t="s">
        <v>46</v>
      </c>
      <c r="F11" s="28"/>
      <c r="G11" s="28"/>
    </row>
    <row r="12" spans="1:7" ht="82.8" customHeight="1" x14ac:dyDescent="0.3">
      <c r="A12" s="15" t="s">
        <v>58</v>
      </c>
      <c r="B12" s="15" t="s">
        <v>15</v>
      </c>
      <c r="C12" s="15" t="s">
        <v>59</v>
      </c>
      <c r="D12" s="15" t="s">
        <v>45</v>
      </c>
      <c r="E12" s="28" t="s">
        <v>46</v>
      </c>
      <c r="F12" s="28"/>
      <c r="G12" s="28"/>
    </row>
    <row r="13" spans="1:7" ht="73.2" customHeight="1" x14ac:dyDescent="0.3">
      <c r="A13" s="19" t="s">
        <v>60</v>
      </c>
      <c r="B13" s="19" t="s">
        <v>61</v>
      </c>
      <c r="C13" s="19" t="s">
        <v>62</v>
      </c>
      <c r="D13" s="19" t="s">
        <v>63</v>
      </c>
      <c r="E13" s="28" t="s">
        <v>46</v>
      </c>
      <c r="F13" s="28"/>
      <c r="G13" s="28"/>
    </row>
    <row r="14" spans="1:7" ht="81.599999999999994" customHeight="1" x14ac:dyDescent="0.3">
      <c r="A14" s="15" t="s">
        <v>64</v>
      </c>
      <c r="B14" s="15" t="s">
        <v>61</v>
      </c>
      <c r="C14" s="15" t="s">
        <v>65</v>
      </c>
      <c r="D14" s="15" t="s">
        <v>63</v>
      </c>
      <c r="E14" s="28" t="s">
        <v>46</v>
      </c>
      <c r="F14" s="28"/>
      <c r="G14" s="28"/>
    </row>
  </sheetData>
  <mergeCells count="1">
    <mergeCell ref="A2:C2"/>
  </mergeCells>
  <conditionalFormatting sqref="E6:E14">
    <cfRule type="containsText" dxfId="23" priority="1" operator="containsText" text="Terminado"/>
  </conditionalFormatting>
  <dataValidations count="1">
    <dataValidation type="list" sqref="E6:E14" xr:uid="{135A9B42-5871-4F03-BADC-5ECA8F39F7A0}">
      <formula1>"Por hacer,En proceso,Terminado"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8892-8345-4D9B-929B-33F348BF353B}">
  <dimension ref="A1:G24"/>
  <sheetViews>
    <sheetView zoomScale="55" zoomScaleNormal="55" workbookViewId="0">
      <selection activeCell="I11" sqref="I11"/>
    </sheetView>
  </sheetViews>
  <sheetFormatPr baseColWidth="10" defaultRowHeight="14.4" x14ac:dyDescent="0.3"/>
  <cols>
    <col min="1" max="1" width="34.88671875" customWidth="1"/>
    <col min="2" max="2" width="27.5546875" customWidth="1"/>
    <col min="3" max="3" width="21" customWidth="1"/>
    <col min="4" max="4" width="19.5546875" customWidth="1"/>
    <col min="5" max="5" width="23.6640625" customWidth="1"/>
    <col min="6" max="6" width="29.6640625" customWidth="1"/>
    <col min="7" max="7" width="18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ht="21" x14ac:dyDescent="0.3">
      <c r="A2" s="27" t="s">
        <v>66</v>
      </c>
      <c r="B2" s="27"/>
      <c r="C2" s="1"/>
      <c r="D2" s="1"/>
      <c r="E2" s="1"/>
      <c r="F2" s="1"/>
      <c r="G2" s="1"/>
    </row>
    <row r="3" spans="1:7" ht="15" thickBot="1" x14ac:dyDescent="0.35">
      <c r="A3" s="8"/>
      <c r="B3" s="8"/>
      <c r="C3" s="8"/>
      <c r="D3" s="8"/>
      <c r="E3" s="8"/>
      <c r="F3" s="8"/>
      <c r="G3" s="8"/>
    </row>
    <row r="4" spans="1:7" x14ac:dyDescent="0.3">
      <c r="A4" s="32" t="s">
        <v>34</v>
      </c>
      <c r="B4" s="35">
        <f>[1]Backlog!C11</f>
        <v>16</v>
      </c>
      <c r="C4" s="1"/>
      <c r="D4" s="1"/>
      <c r="E4" s="1"/>
      <c r="F4" s="1"/>
      <c r="G4" s="1"/>
    </row>
    <row r="5" spans="1:7" x14ac:dyDescent="0.3">
      <c r="A5" s="33" t="s">
        <v>67</v>
      </c>
      <c r="B5" s="36">
        <v>46314</v>
      </c>
      <c r="C5" s="1"/>
      <c r="D5" s="1"/>
      <c r="E5" s="1"/>
      <c r="F5" s="1"/>
      <c r="G5" s="1"/>
    </row>
    <row r="6" spans="1:7" x14ac:dyDescent="0.3">
      <c r="A6" s="33" t="s">
        <v>68</v>
      </c>
      <c r="B6" s="37">
        <v>7</v>
      </c>
      <c r="C6" s="1"/>
      <c r="D6" s="1"/>
      <c r="E6" s="1"/>
      <c r="F6" s="1"/>
      <c r="G6" s="1"/>
    </row>
    <row r="7" spans="1:7" x14ac:dyDescent="0.3">
      <c r="A7" s="33" t="s">
        <v>69</v>
      </c>
      <c r="B7" s="37">
        <v>8</v>
      </c>
      <c r="C7" s="1"/>
      <c r="D7" s="1"/>
      <c r="E7" s="1"/>
      <c r="F7" s="1"/>
      <c r="G7" s="1"/>
    </row>
    <row r="8" spans="1:7" x14ac:dyDescent="0.3">
      <c r="A8" s="33" t="s">
        <v>70</v>
      </c>
      <c r="B8" s="37">
        <v>5</v>
      </c>
      <c r="C8" s="1"/>
      <c r="D8" s="1"/>
      <c r="E8" s="1"/>
      <c r="F8" s="1"/>
      <c r="G8" s="1"/>
    </row>
    <row r="9" spans="1:7" x14ac:dyDescent="0.3">
      <c r="A9" s="33" t="s">
        <v>71</v>
      </c>
      <c r="B9" s="38">
        <f>IF(B7&gt;0,ROUNDUP(B4/B7,0),"Revisar capacidad")</f>
        <v>2</v>
      </c>
      <c r="C9" s="1"/>
      <c r="D9" s="1"/>
      <c r="E9" s="1"/>
      <c r="F9" s="1"/>
      <c r="G9" s="1"/>
    </row>
    <row r="10" spans="1:7" x14ac:dyDescent="0.3">
      <c r="A10" s="33" t="s">
        <v>72</v>
      </c>
      <c r="B10" s="38">
        <f>IF(B8&gt;0,ROUNDUP(B4/B8,0),"Revisar capacidad")</f>
        <v>4</v>
      </c>
      <c r="C10" s="1"/>
      <c r="D10" s="1"/>
      <c r="E10" s="1"/>
      <c r="F10" s="1"/>
      <c r="G10" s="1"/>
    </row>
    <row r="11" spans="1:7" x14ac:dyDescent="0.3">
      <c r="A11" s="33" t="s">
        <v>73</v>
      </c>
      <c r="B11" s="39"/>
      <c r="C11" s="1"/>
      <c r="D11" s="1"/>
      <c r="E11" s="1"/>
      <c r="F11" s="1"/>
      <c r="G11" s="1"/>
    </row>
    <row r="12" spans="1:7" x14ac:dyDescent="0.3">
      <c r="A12" s="33" t="s">
        <v>74</v>
      </c>
      <c r="B12" s="39"/>
      <c r="C12" s="1"/>
      <c r="D12" s="1"/>
      <c r="E12" s="1"/>
      <c r="F12" s="1"/>
      <c r="G12" s="1"/>
    </row>
    <row r="13" spans="1:7" x14ac:dyDescent="0.3">
      <c r="A13" s="33" t="s">
        <v>75</v>
      </c>
      <c r="B13" s="40" t="str">
        <f>IF(COUNT(B11:B12)&lt;2,"Pendiente",B12+B11*B9)</f>
        <v>Pendiente</v>
      </c>
      <c r="C13" s="1"/>
      <c r="D13" s="1"/>
      <c r="E13" s="1"/>
      <c r="F13" s="1"/>
      <c r="G13" s="1"/>
    </row>
    <row r="14" spans="1:7" ht="15" thickBot="1" x14ac:dyDescent="0.35">
      <c r="A14" s="34" t="s">
        <v>76</v>
      </c>
      <c r="B14" s="41" t="str">
        <f>IF(COUNT(B11:B12)&lt;2,"Pendiente",B12+B11*B10)</f>
        <v>Pendiente</v>
      </c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8"/>
      <c r="B16" s="8"/>
      <c r="C16" s="8"/>
      <c r="D16" s="8"/>
      <c r="E16" s="8"/>
      <c r="F16" s="8"/>
      <c r="G16" s="8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ht="33.6" customHeight="1" x14ac:dyDescent="0.3">
      <c r="A18" s="11" t="s">
        <v>77</v>
      </c>
      <c r="B18" s="12" t="s">
        <v>78</v>
      </c>
      <c r="C18" s="12" t="s">
        <v>79</v>
      </c>
      <c r="D18" s="12" t="s">
        <v>80</v>
      </c>
      <c r="E18" s="12" t="s">
        <v>81</v>
      </c>
      <c r="F18" s="12" t="s">
        <v>82</v>
      </c>
      <c r="G18" s="13" t="s">
        <v>3</v>
      </c>
    </row>
    <row r="19" spans="1:7" ht="66" customHeight="1" x14ac:dyDescent="0.3">
      <c r="A19" s="14" t="s">
        <v>83</v>
      </c>
      <c r="B19" s="42">
        <v>1</v>
      </c>
      <c r="C19" s="43">
        <f t="shared" ref="C19:C24" si="0">$B$5+(B19-1)*$B$6</f>
        <v>46314</v>
      </c>
      <c r="D19" s="43">
        <f t="shared" ref="D19:D24" si="1">C19+$B$6-1</f>
        <v>46320</v>
      </c>
      <c r="E19" s="15" t="s">
        <v>21</v>
      </c>
      <c r="F19" s="15" t="s">
        <v>84</v>
      </c>
      <c r="G19" s="17">
        <f>SUM([1]Backlog!C5:C6)</f>
        <v>8</v>
      </c>
    </row>
    <row r="20" spans="1:7" ht="57.6" customHeight="1" x14ac:dyDescent="0.3">
      <c r="A20" s="18" t="s">
        <v>83</v>
      </c>
      <c r="B20" s="44">
        <v>2</v>
      </c>
      <c r="C20" s="45">
        <f t="shared" si="0"/>
        <v>46321</v>
      </c>
      <c r="D20" s="45">
        <f t="shared" si="1"/>
        <v>46327</v>
      </c>
      <c r="E20" s="19" t="s">
        <v>85</v>
      </c>
      <c r="F20" s="19" t="s">
        <v>86</v>
      </c>
      <c r="G20" s="20">
        <f>SUM([1]Backlog!C7:C9)</f>
        <v>8</v>
      </c>
    </row>
    <row r="21" spans="1:7" ht="59.4" customHeight="1" x14ac:dyDescent="0.3">
      <c r="A21" s="14" t="s">
        <v>87</v>
      </c>
      <c r="B21" s="42">
        <v>1</v>
      </c>
      <c r="C21" s="43">
        <f t="shared" si="0"/>
        <v>46314</v>
      </c>
      <c r="D21" s="43">
        <f t="shared" si="1"/>
        <v>46320</v>
      </c>
      <c r="E21" s="15" t="s">
        <v>9</v>
      </c>
      <c r="F21" s="15" t="s">
        <v>88</v>
      </c>
      <c r="G21" s="17">
        <f>[1]Backlog!C5</f>
        <v>5</v>
      </c>
    </row>
    <row r="22" spans="1:7" ht="55.2" x14ac:dyDescent="0.3">
      <c r="A22" s="18" t="s">
        <v>87</v>
      </c>
      <c r="B22" s="44">
        <v>2</v>
      </c>
      <c r="C22" s="45">
        <f t="shared" si="0"/>
        <v>46321</v>
      </c>
      <c r="D22" s="45">
        <f t="shared" si="1"/>
        <v>46327</v>
      </c>
      <c r="E22" s="19" t="s">
        <v>15</v>
      </c>
      <c r="F22" s="19" t="s">
        <v>89</v>
      </c>
      <c r="G22" s="20">
        <f>[1]Backlog!C6</f>
        <v>3</v>
      </c>
    </row>
    <row r="23" spans="1:7" ht="55.2" x14ac:dyDescent="0.3">
      <c r="A23" s="14" t="s">
        <v>87</v>
      </c>
      <c r="B23" s="42">
        <v>3</v>
      </c>
      <c r="C23" s="43">
        <f t="shared" si="0"/>
        <v>46328</v>
      </c>
      <c r="D23" s="43">
        <f t="shared" si="1"/>
        <v>46334</v>
      </c>
      <c r="E23" s="15" t="s">
        <v>90</v>
      </c>
      <c r="F23" s="15" t="s">
        <v>91</v>
      </c>
      <c r="G23" s="17">
        <f>SUM([1]Backlog!C7:C8)</f>
        <v>5</v>
      </c>
    </row>
    <row r="24" spans="1:7" ht="69" x14ac:dyDescent="0.3">
      <c r="A24" s="46" t="s">
        <v>87</v>
      </c>
      <c r="B24" s="47">
        <v>4</v>
      </c>
      <c r="C24" s="48">
        <f t="shared" si="0"/>
        <v>46335</v>
      </c>
      <c r="D24" s="48">
        <f t="shared" si="1"/>
        <v>46341</v>
      </c>
      <c r="E24" s="49" t="s">
        <v>29</v>
      </c>
      <c r="F24" s="49" t="s">
        <v>92</v>
      </c>
      <c r="G24" s="50">
        <f>[1]Backlog!C9</f>
        <v>3</v>
      </c>
    </row>
  </sheetData>
  <mergeCells count="3">
    <mergeCell ref="A3:G3"/>
    <mergeCell ref="A16:G16"/>
    <mergeCell ref="A2:B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DADA-670C-4A22-9A9B-D3719E9858EB}">
  <dimension ref="A1:H22"/>
  <sheetViews>
    <sheetView tabSelected="1" topLeftCell="A18" zoomScale="60" zoomScaleNormal="85" workbookViewId="0">
      <selection activeCell="I8" sqref="I8"/>
    </sheetView>
  </sheetViews>
  <sheetFormatPr baseColWidth="10" defaultRowHeight="14.4" x14ac:dyDescent="0.3"/>
  <cols>
    <col min="1" max="1" width="69.77734375" bestFit="1" customWidth="1"/>
    <col min="3" max="3" width="19.6640625" bestFit="1" customWidth="1"/>
    <col min="4" max="4" width="20.44140625" customWidth="1"/>
    <col min="5" max="5" width="17.77734375" customWidth="1"/>
    <col min="6" max="6" width="20.21875" customWidth="1"/>
    <col min="7" max="7" width="20" customWidth="1"/>
    <col min="8" max="8" width="21.6640625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ht="21" x14ac:dyDescent="0.3">
      <c r="A2" s="31" t="s">
        <v>93</v>
      </c>
      <c r="B2" s="1"/>
      <c r="C2" s="1"/>
      <c r="D2" s="1"/>
      <c r="E2" s="1"/>
      <c r="F2" s="1"/>
      <c r="G2" s="1"/>
      <c r="H2" s="1"/>
    </row>
    <row r="3" spans="1:8" x14ac:dyDescent="0.3">
      <c r="A3" s="25"/>
      <c r="B3" s="25"/>
      <c r="C3" s="25"/>
      <c r="D3" s="25"/>
      <c r="E3" s="25"/>
      <c r="F3" s="25"/>
      <c r="G3" s="25"/>
      <c r="H3" s="25"/>
    </row>
    <row r="4" spans="1:8" x14ac:dyDescent="0.3">
      <c r="A4" s="8"/>
      <c r="B4" s="8"/>
      <c r="C4" s="8"/>
      <c r="D4" s="8"/>
      <c r="E4" s="8"/>
      <c r="F4" s="8"/>
      <c r="G4" s="8"/>
      <c r="H4" s="8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ht="27.6" x14ac:dyDescent="0.3">
      <c r="A6" s="4" t="s">
        <v>37</v>
      </c>
      <c r="B6" s="4" t="s">
        <v>3</v>
      </c>
      <c r="C6" s="4" t="s">
        <v>40</v>
      </c>
      <c r="D6" s="4" t="s">
        <v>94</v>
      </c>
      <c r="E6" s="4" t="s">
        <v>95</v>
      </c>
      <c r="F6" s="4" t="s">
        <v>96</v>
      </c>
      <c r="G6" s="4" t="s">
        <v>42</v>
      </c>
      <c r="H6" s="4" t="s">
        <v>97</v>
      </c>
    </row>
    <row r="7" spans="1:8" ht="31.2" customHeight="1" x14ac:dyDescent="0.3">
      <c r="A7" s="5" t="s">
        <v>9</v>
      </c>
      <c r="B7" s="5">
        <f>INDEX([1]Backlog!$C$5:$C$9,MATCH(A7,[1]Backlog!$A$5:$A$9,0))</f>
        <v>5</v>
      </c>
      <c r="C7" s="26" t="s">
        <v>46</v>
      </c>
      <c r="D7" s="26" t="s">
        <v>98</v>
      </c>
      <c r="E7" s="26" t="s">
        <v>98</v>
      </c>
      <c r="F7" s="26"/>
      <c r="G7" s="26"/>
      <c r="H7" s="5" t="str">
        <f>IF(C7&lt;&gt;"Terminado","",IF(OR(D7&lt;&gt;"Sí",E7&lt;&gt;"Sí"),"Falta aceptación o DoD",IF(OR(F7="",G7=""),"Completar cierre y evidencia","")))</f>
        <v/>
      </c>
    </row>
    <row r="8" spans="1:8" ht="28.8" customHeight="1" x14ac:dyDescent="0.3">
      <c r="A8" s="6" t="s">
        <v>15</v>
      </c>
      <c r="B8" s="6">
        <f>INDEX([1]Backlog!$C$5:$C$9,MATCH(A8,[1]Backlog!$A$5:$A$9,0))</f>
        <v>3</v>
      </c>
      <c r="C8" s="26" t="s">
        <v>46</v>
      </c>
      <c r="D8" s="26" t="s">
        <v>98</v>
      </c>
      <c r="E8" s="26" t="s">
        <v>98</v>
      </c>
      <c r="F8" s="26"/>
      <c r="G8" s="26"/>
      <c r="H8" s="6" t="str">
        <f>IF(C8&lt;&gt;"Terminado","",IF(OR(D8&lt;&gt;"Sí",E8&lt;&gt;"Sí"),"Falta aceptación o DoD",IF(OR(F8="",G8=""),"Completar cierre y evidencia","")))</f>
        <v/>
      </c>
    </row>
    <row r="9" spans="1:8" ht="26.4" customHeight="1" x14ac:dyDescent="0.3">
      <c r="A9" s="5" t="s">
        <v>19</v>
      </c>
      <c r="B9" s="5">
        <f>INDEX([1]Backlog!$C$5:$C$9,MATCH(A9,[1]Backlog!$A$5:$A$9,0))</f>
        <v>3</v>
      </c>
      <c r="C9" s="26" t="s">
        <v>46</v>
      </c>
      <c r="D9" s="26" t="s">
        <v>98</v>
      </c>
      <c r="E9" s="26" t="s">
        <v>98</v>
      </c>
      <c r="F9" s="26"/>
      <c r="G9" s="26"/>
      <c r="H9" s="5" t="str">
        <f>IF(C9&lt;&gt;"Terminado","",IF(OR(D9&lt;&gt;"Sí",E9&lt;&gt;"Sí"),"Falta aceptación o DoD",IF(OR(F9="",G9=""),"Completar cierre y evidencia","")))</f>
        <v/>
      </c>
    </row>
    <row r="10" spans="1:8" ht="25.2" customHeight="1" x14ac:dyDescent="0.3">
      <c r="A10" s="6" t="s">
        <v>25</v>
      </c>
      <c r="B10" s="6">
        <f>INDEX([1]Backlog!$C$5:$C$9,MATCH(A10,[1]Backlog!$A$5:$A$9,0))</f>
        <v>2</v>
      </c>
      <c r="C10" s="26" t="s">
        <v>46</v>
      </c>
      <c r="D10" s="26" t="s">
        <v>98</v>
      </c>
      <c r="E10" s="26" t="s">
        <v>98</v>
      </c>
      <c r="F10" s="26"/>
      <c r="G10" s="26"/>
      <c r="H10" s="6" t="str">
        <f>IF(C10&lt;&gt;"Terminado","",IF(OR(D10&lt;&gt;"Sí",E10&lt;&gt;"Sí"),"Falta aceptación o DoD",IF(OR(F10="",G10=""),"Completar cierre y evidencia","")))</f>
        <v/>
      </c>
    </row>
    <row r="11" spans="1:8" ht="23.4" customHeight="1" x14ac:dyDescent="0.3">
      <c r="A11" s="5" t="s">
        <v>29</v>
      </c>
      <c r="B11" s="5">
        <f>INDEX([1]Backlog!$C$5:$C$9,MATCH(A11,[1]Backlog!$A$5:$A$9,0))</f>
        <v>3</v>
      </c>
      <c r="C11" s="26" t="s">
        <v>46</v>
      </c>
      <c r="D11" s="26" t="s">
        <v>98</v>
      </c>
      <c r="E11" s="26" t="s">
        <v>98</v>
      </c>
      <c r="F11" s="26"/>
      <c r="G11" s="26"/>
      <c r="H11" s="5" t="str">
        <f>IF(C11&lt;&gt;"Terminado","",IF(OR(D11&lt;&gt;"Sí",E11&lt;&gt;"Sí"),"Falta aceptación o DoD",IF(OR(F11="",G11=""),"Completar cierre y evidencia","")))</f>
        <v/>
      </c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 t="s">
        <v>99</v>
      </c>
      <c r="B13" s="1">
        <f>SUMIFS(B7:B11,C7:C11,"Terminado",D7:D11,"Sí",E7:E11,"Sí")</f>
        <v>0</v>
      </c>
      <c r="C13" s="1" t="s">
        <v>100</v>
      </c>
      <c r="D13" s="1">
        <f>[1]Backlog!C11-B13</f>
        <v>16</v>
      </c>
      <c r="E13" s="1" t="s">
        <v>101</v>
      </c>
      <c r="F13" s="1" t="str">
        <f>IF(COUNT(F19:F22)=0,"Pendiente",IF(COUNT(F19:F22)&lt;4,AVERAGE(F19:F22),AVERAGE(F20:F22)))</f>
        <v>Pendiente</v>
      </c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8"/>
      <c r="B15" s="8"/>
      <c r="C15" s="8"/>
      <c r="D15" s="8"/>
      <c r="E15" s="8"/>
      <c r="F15" s="8"/>
      <c r="G15" s="8"/>
      <c r="H15" s="8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ht="27.6" x14ac:dyDescent="0.3">
      <c r="A17" s="4" t="s">
        <v>102</v>
      </c>
      <c r="B17" s="4" t="s">
        <v>78</v>
      </c>
      <c r="C17" s="4" t="s">
        <v>103</v>
      </c>
      <c r="D17" s="4" t="s">
        <v>104</v>
      </c>
      <c r="E17" s="4" t="s">
        <v>105</v>
      </c>
      <c r="F17" s="4" t="s">
        <v>106</v>
      </c>
      <c r="G17" s="4" t="s">
        <v>107</v>
      </c>
      <c r="H17" s="4" t="s">
        <v>108</v>
      </c>
    </row>
    <row r="18" spans="1:8" ht="65.400000000000006" customHeight="1" x14ac:dyDescent="0.3">
      <c r="A18" s="5" t="s">
        <v>79</v>
      </c>
      <c r="B18" s="5">
        <v>0</v>
      </c>
      <c r="C18" s="5" t="s">
        <v>79</v>
      </c>
      <c r="D18" s="5">
        <f>[1]Backlog!C11</f>
        <v>16</v>
      </c>
      <c r="E18" s="5">
        <f>[1]Backlog!C11</f>
        <v>16</v>
      </c>
      <c r="F18" s="5"/>
      <c r="G18" s="29">
        <f>[1]Entregas!B6</f>
        <v>46314</v>
      </c>
      <c r="H18" s="5" t="s">
        <v>109</v>
      </c>
    </row>
    <row r="19" spans="1:8" ht="34.200000000000003" customHeight="1" x14ac:dyDescent="0.3">
      <c r="A19" s="6" t="s">
        <v>110</v>
      </c>
      <c r="B19" s="6">
        <v>1</v>
      </c>
      <c r="C19" s="26" t="s">
        <v>98</v>
      </c>
      <c r="D19" s="6">
        <f>MAX(0,[1]Backlog!$C$11-B19*[1]Entregas!$B$8)</f>
        <v>8</v>
      </c>
      <c r="E19" s="6" t="str">
        <f>IF(C19&lt;&gt;"Cerrado","",[1]Backlog!$C$11-SUMIFS($B$7:$B$11,$C$7:$C$11,"Terminado",$D$7:$D$11,"Sí",$E$7:$E$11,"Sí",$F$7:$F$11,"&gt;0",$F$7:$F$11,"&lt;="&amp;B19))</f>
        <v/>
      </c>
      <c r="F19" s="6" t="str">
        <f>IF(C19&lt;&gt;"Cerrado","",SUMIFS($B$7:$B$11,$C$7:$C$11,"Terminado",$D$7:$D$11,"Sí",$E$7:$E$11,"Sí",$F$7:$F$11,B19))</f>
        <v/>
      </c>
      <c r="G19" s="30">
        <f>[1]Entregas!$B$6+B19*[1]Entregas!$B$7-1</f>
        <v>46320</v>
      </c>
      <c r="H19" s="26"/>
    </row>
    <row r="20" spans="1:8" ht="28.8" customHeight="1" x14ac:dyDescent="0.3">
      <c r="A20" s="5" t="s">
        <v>111</v>
      </c>
      <c r="B20" s="5">
        <v>2</v>
      </c>
      <c r="C20" s="26" t="s">
        <v>98</v>
      </c>
      <c r="D20" s="5">
        <f>MAX(0,[1]Backlog!$C$11-B20*[1]Entregas!$B$8)</f>
        <v>0</v>
      </c>
      <c r="E20" s="5" t="str">
        <f>IF(C20&lt;&gt;"Cerrado","",[1]Backlog!$C$11-SUMIFS($B$7:$B$11,$C$7:$C$11,"Terminado",$D$7:$D$11,"Sí",$E$7:$E$11,"Sí",$F$7:$F$11,"&gt;0",$F$7:$F$11,"&lt;="&amp;B20))</f>
        <v/>
      </c>
      <c r="F20" s="5" t="str">
        <f>IF(C20&lt;&gt;"Cerrado","",SUMIFS($B$7:$B$11,$C$7:$C$11,"Terminado",$D$7:$D$11,"Sí",$E$7:$E$11,"Sí",$F$7:$F$11,B20))</f>
        <v/>
      </c>
      <c r="G20" s="29">
        <f>[1]Entregas!$B$6+B20*[1]Entregas!$B$7-1</f>
        <v>46327</v>
      </c>
      <c r="H20" s="26"/>
    </row>
    <row r="21" spans="1:8" ht="41.4" x14ac:dyDescent="0.3">
      <c r="A21" s="6" t="s">
        <v>112</v>
      </c>
      <c r="B21" s="6">
        <v>3</v>
      </c>
      <c r="C21" s="26" t="s">
        <v>98</v>
      </c>
      <c r="D21" s="6">
        <f>MAX(0,[1]Backlog!$C$11-B21*[1]Entregas!$B$8)</f>
        <v>0</v>
      </c>
      <c r="E21" s="6" t="str">
        <f>IF(C21&lt;&gt;"Cerrado","",[1]Backlog!$C$11-SUMIFS($B$7:$B$11,$C$7:$C$11,"Terminado",$D$7:$D$11,"Sí",$E$7:$E$11,"Sí",$F$7:$F$11,"&gt;0",$F$7:$F$11,"&lt;="&amp;B21))</f>
        <v/>
      </c>
      <c r="F21" s="6" t="str">
        <f>IF(C21&lt;&gt;"Cerrado","",SUMIFS($B$7:$B$11,$C$7:$C$11,"Terminado",$D$7:$D$11,"Sí",$E$7:$E$11,"Sí",$F$7:$F$11,B21))</f>
        <v/>
      </c>
      <c r="G21" s="30">
        <f>[1]Entregas!$B$6+B21*[1]Entregas!$B$7-1</f>
        <v>46334</v>
      </c>
      <c r="H21" s="26" t="s">
        <v>113</v>
      </c>
    </row>
    <row r="22" spans="1:8" ht="41.4" x14ac:dyDescent="0.3">
      <c r="A22" s="5" t="s">
        <v>114</v>
      </c>
      <c r="B22" s="5">
        <v>4</v>
      </c>
      <c r="C22" s="26" t="s">
        <v>98</v>
      </c>
      <c r="D22" s="5">
        <f>MAX(0,[1]Backlog!$C$11-B22*[1]Entregas!$B$8)</f>
        <v>0</v>
      </c>
      <c r="E22" s="5" t="str">
        <f>IF(C22&lt;&gt;"Cerrado","",[1]Backlog!$C$11-SUMIFS($B$7:$B$11,$C$7:$C$11,"Terminado",$D$7:$D$11,"Sí",$E$7:$E$11,"Sí",$F$7:$F$11,"&gt;0",$F$7:$F$11,"&lt;="&amp;B22))</f>
        <v/>
      </c>
      <c r="F22" s="5" t="str">
        <f>IF(C22&lt;&gt;"Cerrado","",SUMIFS($B$7:$B$11,$C$7:$C$11,"Terminado",$D$7:$D$11,"Sí",$E$7:$E$11,"Sí",$F$7:$F$11,B22))</f>
        <v/>
      </c>
      <c r="G22" s="29">
        <f>[1]Entregas!$B$6+B22*[1]Entregas!$B$7-1</f>
        <v>46341</v>
      </c>
      <c r="H22" s="26" t="s">
        <v>113</v>
      </c>
    </row>
  </sheetData>
  <mergeCells count="2">
    <mergeCell ref="A4:H4"/>
    <mergeCell ref="A15:H15"/>
  </mergeCells>
  <conditionalFormatting sqref="H7:H11">
    <cfRule type="expression" dxfId="11" priority="1">
      <formula>LEN(H7)&gt;0</formula>
    </cfRule>
  </conditionalFormatting>
  <dataValidations count="4">
    <dataValidation type="list" sqref="C19:C22" xr:uid="{F6EE46F7-937F-415E-B0AC-DFE9793C412C}">
      <formula1>"Pendiente,Cerrado"</formula1>
    </dataValidation>
    <dataValidation type="list" sqref="F7:F11" xr:uid="{A9CD9E10-684C-453E-85E9-CABED7158350}">
      <formula1>"1,2,3,4"</formula1>
    </dataValidation>
    <dataValidation type="list" sqref="D7:E11" xr:uid="{1C801A58-21F8-4DE3-8A04-F11672DD6F77}">
      <formula1>"Pendiente,Sí,No"</formula1>
    </dataValidation>
    <dataValidation type="list" sqref="C7:C11" xr:uid="{F423277D-778A-4F86-AF23-ACAD4D7EE868}">
      <formula1>"Por hacer,En proceso,Terminado"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 1</vt:lpstr>
      <vt:lpstr>Entregas</vt:lpstr>
      <vt:lpstr>Seguimiento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NAYELY DE LOS ANGELE VEGA MURILLO</dc:creator>
  <cp:lastModifiedBy>NAYELY DE LOS ANGELE VEGA MURILLO</cp:lastModifiedBy>
  <dcterms:created xsi:type="dcterms:W3CDTF">2026-10-29T03:28:53Z</dcterms:created>
  <dcterms:modified xsi:type="dcterms:W3CDTF">2026-10-29T03:42:22Z</dcterms:modified>
</cp:coreProperties>
</file>